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isk Metrics" sheetId="2" state="visible" r:id="rId2"/>
    <sheet name="Risk Contributions" sheetId="3" state="visible" r:id="rId3"/>
    <sheet name="Benchmark Relative" sheetId="4" state="visible" r:id="rId4"/>
    <sheet name="Rolling Risk" sheetId="5" state="visible" r:id="rId5"/>
  </sheets>
  <definedNames>
    <definedName name="_xlnm._FilterDatabase" localSheetId="1" hidden="1">'Risk Metrics'!$A$3:$B$13</definedName>
    <definedName name="_xlnm._FilterDatabase" localSheetId="2" hidden="1">'Risk Contributions'!$A$3:$E$7</definedName>
    <definedName name="_xlnm._FilterDatabase" localSheetId="3" hidden="1">'Benchmark Relative'!$A$3:$D$10</definedName>
    <definedName name="_xlnm._FilterDatabase" localSheetId="4" hidden="1">'Rolling Risk'!$A$3:$C$10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0" customWidth="1" min="2" max="2"/>
  </cols>
  <sheetData>
    <row r="1">
      <c r="A1" s="1" t="inlineStr">
        <is>
          <t>Portfolio Risk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Annualised Volatility</t>
        </is>
      </c>
      <c r="B4" s="3" t="n">
        <v>0.03864212483636116</v>
      </c>
    </row>
    <row r="5">
      <c r="A5" t="inlineStr">
        <is>
          <t>Maximum Drawdown</t>
        </is>
      </c>
      <c r="B5" s="3" t="n">
        <v>0</v>
      </c>
    </row>
    <row r="6">
      <c r="A6" t="inlineStr">
        <is>
          <t>95% VaR</t>
        </is>
      </c>
      <c r="B6" s="3" t="n">
        <v>-0.001065551078350711</v>
      </c>
    </row>
    <row r="7">
      <c r="A7" t="inlineStr">
        <is>
          <t>99% VaR</t>
        </is>
      </c>
      <c r="B7" s="3" t="n">
        <v>-0.0007848705647041717</v>
      </c>
    </row>
    <row r="8">
      <c r="A8" t="inlineStr">
        <is>
          <t>95% Expected Shortfall</t>
        </is>
      </c>
      <c r="B8" s="3" t="n">
        <v>-0.0007147004362925369</v>
      </c>
    </row>
    <row r="9">
      <c r="A9" t="inlineStr">
        <is>
          <t>Tracking Error</t>
        </is>
      </c>
      <c r="B9" s="3" t="n">
        <v>0.02733297225327739</v>
      </c>
    </row>
    <row r="10">
      <c r="A10" t="inlineStr">
        <is>
          <t>Information Ratio</t>
        </is>
      </c>
      <c r="B10" s="4" t="n">
        <v>-16.46558061967794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20" customWidth="1" min="2" max="2"/>
  </cols>
  <sheetData>
    <row r="1">
      <c r="A1" s="1" t="inlineStr">
        <is>
          <t>Risk Metrics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Annualised Volatility</t>
        </is>
      </c>
      <c r="B4" s="3" t="n">
        <v>0.03864212483636116</v>
      </c>
    </row>
    <row r="5">
      <c r="A5" t="inlineStr">
        <is>
          <t>Maximum Drawdown</t>
        </is>
      </c>
      <c r="B5" s="3" t="n">
        <v>0</v>
      </c>
    </row>
    <row r="6">
      <c r="A6" t="inlineStr">
        <is>
          <t>95% VaR</t>
        </is>
      </c>
      <c r="B6" s="3" t="n">
        <v>-0.001065551078350711</v>
      </c>
    </row>
    <row r="7">
      <c r="A7" t="inlineStr">
        <is>
          <t>99% VaR</t>
        </is>
      </c>
      <c r="B7" s="3" t="n">
        <v>-0.0007848705647041717</v>
      </c>
    </row>
    <row r="8">
      <c r="A8" t="inlineStr">
        <is>
          <t>95% Expected Shortfall</t>
        </is>
      </c>
      <c r="B8" s="3" t="n">
        <v>-0.0007147004362925369</v>
      </c>
    </row>
    <row r="9">
      <c r="A9" t="inlineStr">
        <is>
          <t>95% VaR ($)</t>
        </is>
      </c>
      <c r="B9" s="5" t="n">
        <v>-1065.551078350711</v>
      </c>
    </row>
    <row r="10">
      <c r="A10" t="inlineStr">
        <is>
          <t>99% VaR ($)</t>
        </is>
      </c>
      <c r="B10" s="5" t="n">
        <v>-784.8705647041717</v>
      </c>
    </row>
    <row r="11">
      <c r="A11" t="inlineStr">
        <is>
          <t>95% Expected Shortfall ($)</t>
        </is>
      </c>
      <c r="B11" s="5" t="n">
        <v>-714.7004362925369</v>
      </c>
    </row>
    <row r="12">
      <c r="A12" t="inlineStr">
        <is>
          <t>Tracking Error</t>
        </is>
      </c>
      <c r="B12" s="3" t="n">
        <v>0.02733297225327739</v>
      </c>
    </row>
    <row r="13">
      <c r="A13" t="inlineStr">
        <is>
          <t>Information Ratio</t>
        </is>
      </c>
      <c r="B13" s="6" t="n">
        <v>-16.46558061967794</v>
      </c>
    </row>
  </sheetData>
  <autoFilter ref="A3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9" customWidth="1" min="2" max="2"/>
    <col width="26" customWidth="1" min="3" max="3"/>
    <col width="25" customWidth="1" min="4" max="4"/>
    <col width="26" customWidth="1" min="5" max="5"/>
  </cols>
  <sheetData>
    <row r="1">
      <c r="A1" s="1" t="inlineStr">
        <is>
          <t>Portfolio Risk Contributions</t>
        </is>
      </c>
    </row>
    <row r="2"/>
    <row r="3">
      <c r="A3" s="2" t="inlineStr">
        <is>
          <t>index</t>
        </is>
      </c>
      <c r="B3" s="2" t="inlineStr">
        <is>
          <t>Weight</t>
        </is>
      </c>
      <c r="C3" s="2" t="inlineStr">
        <is>
          <t>Marginal Contribution</t>
        </is>
      </c>
      <c r="D3" s="2" t="inlineStr">
        <is>
          <t>Component Contribution</t>
        </is>
      </c>
      <c r="E3" s="2" t="inlineStr">
        <is>
          <t>Risk Contribution %</t>
        </is>
      </c>
    </row>
    <row r="4">
      <c r="A4" t="inlineStr">
        <is>
          <t>Australian_Equity</t>
        </is>
      </c>
      <c r="B4" s="3" t="n">
        <v>0.3</v>
      </c>
      <c r="C4" s="3" t="n">
        <v>0.008247108407162336</v>
      </c>
      <c r="D4" s="3" t="n">
        <v>0.03927563618533481</v>
      </c>
      <c r="E4" s="3" t="n">
        <v>1.016394319713432</v>
      </c>
    </row>
    <row r="5">
      <c r="A5" t="inlineStr">
        <is>
          <t>International_Equity</t>
        </is>
      </c>
      <c r="B5" s="3" t="n">
        <v>0.4</v>
      </c>
      <c r="C5" s="3" t="n">
        <v>5.027653360753211e-05</v>
      </c>
      <c r="D5" s="3" t="n">
        <v>0.0003192460912989865</v>
      </c>
      <c r="E5" s="3" t="n">
        <v>0.008261608093522456</v>
      </c>
    </row>
    <row r="6">
      <c r="A6" t="inlineStr">
        <is>
          <t>Bonds</t>
        </is>
      </c>
      <c r="B6" s="3" t="n">
        <v>0.2</v>
      </c>
      <c r="C6" s="3" t="n">
        <v>-0.0003000885291866412</v>
      </c>
      <c r="D6" s="3" t="n">
        <v>-0.0009527515434372008</v>
      </c>
      <c r="E6" s="3" t="n">
        <v>-0.02465577520573321</v>
      </c>
    </row>
    <row r="7">
      <c r="A7" t="inlineStr">
        <is>
          <t>Cash</t>
        </is>
      </c>
      <c r="B7" s="3" t="n">
        <v>0.1</v>
      </c>
      <c r="C7" s="3" t="n">
        <v>-3.714657158200126e-09</v>
      </c>
      <c r="D7" s="3" t="n">
        <v>-5.896835427878071e-09</v>
      </c>
      <c r="E7" s="3" t="n">
        <v>-1.526012208916968e-07</v>
      </c>
    </row>
  </sheetData>
  <autoFilter ref="A3:E7"/>
  <conditionalFormatting sqref="B4:B7">
    <cfRule type="colorScale" priority="1">
      <colorScale>
        <cfvo type="min"/>
        <cfvo type="percentile" val="50"/>
        <cfvo type="max"/>
        <color rgb="00FFFFFF"/>
        <color rgb="00FFFF00"/>
        <color rgb="00FF0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4" customWidth="1" min="2" max="2"/>
    <col width="24" customWidth="1" min="3" max="3"/>
    <col width="25" customWidth="1" min="4" max="4"/>
  </cols>
  <sheetData>
    <row r="1">
      <c r="A1" s="1" t="inlineStr">
        <is>
          <t>Portfolio vs Benchmark</t>
        </is>
      </c>
    </row>
    <row r="2"/>
    <row r="3">
      <c r="A3" s="2" t="inlineStr">
        <is>
          <t>index</t>
        </is>
      </c>
      <c r="B3" s="2" t="inlineStr">
        <is>
          <t>Portfolio Return</t>
        </is>
      </c>
      <c r="C3" s="2" t="inlineStr">
        <is>
          <t>Benchmark Return</t>
        </is>
      </c>
      <c r="D3" s="2" t="inlineStr">
        <is>
          <t>Active Return</t>
        </is>
      </c>
    </row>
    <row r="4">
      <c r="A4" t="n">
        <v>1</v>
      </c>
      <c r="B4" s="3" t="n">
        <v>0.005209999999999937</v>
      </c>
      <c r="C4" s="3" t="n">
        <v>0.007499999999999951</v>
      </c>
      <c r="D4" s="3" t="n">
        <v>-0.002290000000000014</v>
      </c>
    </row>
    <row r="5">
      <c r="A5" t="n">
        <v>2</v>
      </c>
      <c r="B5" s="3" t="n">
        <v>0.0007147004362925369</v>
      </c>
      <c r="C5" s="3" t="n">
        <v>1.231466430229311e-05</v>
      </c>
      <c r="D5" s="3" t="n">
        <v>0.0007023857719902438</v>
      </c>
    </row>
    <row r="6">
      <c r="A6" t="n">
        <v>3</v>
      </c>
      <c r="B6" s="3" t="n">
        <v>0.007556126373180039</v>
      </c>
      <c r="C6" s="3" t="n">
        <v>0.01142308260676816</v>
      </c>
      <c r="D6" s="3" t="n">
        <v>-0.003866956233588126</v>
      </c>
    </row>
    <row r="7">
      <c r="A7" t="n">
        <v>4</v>
      </c>
      <c r="B7" s="3" t="n">
        <v>0.004822433379268686</v>
      </c>
      <c r="C7" s="3" t="n">
        <v>0.00686659732655337</v>
      </c>
      <c r="D7" s="3" t="n">
        <v>-0.002044163947284684</v>
      </c>
    </row>
    <row r="8">
      <c r="A8" t="n">
        <v>5</v>
      </c>
      <c r="B8" s="3" t="n">
        <v>0.001884202576486449</v>
      </c>
      <c r="C8" s="3" t="n">
        <v>0.001486709858833812</v>
      </c>
      <c r="D8" s="3" t="n">
        <v>0.0003974927176526369</v>
      </c>
    </row>
    <row r="9">
      <c r="A9" t="n">
        <v>6</v>
      </c>
      <c r="B9" s="3" t="n">
        <v>0.006541189665004322</v>
      </c>
      <c r="C9" s="3" t="n">
        <v>0.00974425763675113</v>
      </c>
      <c r="D9" s="3" t="n">
        <v>-0.003203067971746808</v>
      </c>
    </row>
    <row r="10">
      <c r="A10" t="n">
        <v>7</v>
      </c>
      <c r="B10" s="3" t="n">
        <v>0.005025981513096034</v>
      </c>
      <c r="C10" s="3" t="n">
        <v>0.007223151244890369</v>
      </c>
      <c r="D10" s="3" t="n">
        <v>-0.002197169731794335</v>
      </c>
    </row>
  </sheetData>
  <autoFilter ref="A3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3" customWidth="1" min="2" max="2"/>
    <col width="25" customWidth="1" min="3" max="3"/>
  </cols>
  <sheetData>
    <row r="1">
      <c r="A1" s="1" t="inlineStr">
        <is>
          <t>Rolling Risk Measures</t>
        </is>
      </c>
    </row>
    <row r="2"/>
    <row r="3">
      <c r="A3" s="2" t="inlineStr">
        <is>
          <t>index</t>
        </is>
      </c>
      <c r="B3" s="2" t="inlineStr">
        <is>
          <t>Rolling Volatility</t>
        </is>
      </c>
      <c r="C3" s="2" t="inlineStr">
        <is>
          <t>Rolling Tracking Error</t>
        </is>
      </c>
    </row>
    <row r="4">
      <c r="A4" t="n">
        <v>1</v>
      </c>
      <c r="B4" s="3" t="n">
        <v/>
      </c>
      <c r="C4" s="3" t="n">
        <v/>
      </c>
    </row>
    <row r="5">
      <c r="A5" t="n">
        <v>2</v>
      </c>
      <c r="B5" s="3" t="n">
        <v/>
      </c>
      <c r="C5" s="3" t="n">
        <v/>
      </c>
    </row>
    <row r="6">
      <c r="A6" t="n">
        <v>3</v>
      </c>
      <c r="B6" s="3" t="n">
        <v/>
      </c>
      <c r="C6" s="3" t="n">
        <v/>
      </c>
    </row>
    <row r="7">
      <c r="A7" t="n">
        <v>4</v>
      </c>
      <c r="B7" s="3" t="n">
        <v/>
      </c>
      <c r="C7" s="3" t="n">
        <v/>
      </c>
    </row>
    <row r="8">
      <c r="A8" t="n">
        <v>5</v>
      </c>
      <c r="B8" s="3" t="n">
        <v>0.04350983316154101</v>
      </c>
      <c r="C8" s="3" t="n">
        <v>0.03068123539713945</v>
      </c>
    </row>
    <row r="9">
      <c r="A9" t="n">
        <v>6</v>
      </c>
      <c r="B9" s="3" t="n">
        <v>0.04668064115414298</v>
      </c>
      <c r="C9" s="3" t="n">
        <v>0.03291531982824183</v>
      </c>
    </row>
    <row r="10">
      <c r="A10" t="n">
        <v>7</v>
      </c>
      <c r="B10" s="3" t="n">
        <v>0.03415020289831219</v>
      </c>
      <c r="C10" s="3" t="n">
        <v>0.02578650716698513</v>
      </c>
    </row>
  </sheetData>
  <autoFilter ref="A3:C10"/>
  <conditionalFormatting sqref="B4:B10">
    <cfRule type="colorScale" priority="1">
      <colorScale>
        <cfvo type="min"/>
        <cfvo type="percentile" val="50"/>
        <cfvo type="max"/>
        <color rgb="00FFFFFF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2026-09-04T04:49:25Z</dcterms:created>
  <dcterms:modified xsi:type="dcterms:W3CDTF">2026-09-04T04:49:25Z</dcterms:modified>
</cp:coreProperties>
</file>